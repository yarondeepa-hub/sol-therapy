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MUSEUM" sheetId="1" r:id="rId5"/>
    <sheet state="visible" name="TARGET CITIES" sheetId="2" r:id="rId6"/>
  </sheets>
  <definedNames/>
  <calcPr/>
</workbook>
</file>

<file path=xl/sharedStrings.xml><?xml version="1.0" encoding="utf-8"?>
<sst xmlns="http://schemas.openxmlformats.org/spreadsheetml/2006/main" count="27" uniqueCount="27">
  <si>
    <t>budget</t>
  </si>
  <si>
    <t>ARTIST</t>
  </si>
  <si>
    <t>matresses</t>
  </si>
  <si>
    <t xml:space="preserve">design </t>
  </si>
  <si>
    <t>campaign</t>
  </si>
  <si>
    <t>sound equipment</t>
  </si>
  <si>
    <t>סוזן דלל</t>
  </si>
  <si>
    <t>avishay</t>
  </si>
  <si>
    <t>filming - פלחוב</t>
  </si>
  <si>
    <t>sound enginer suzan</t>
  </si>
  <si>
    <t>insurance</t>
  </si>
  <si>
    <t>producer</t>
  </si>
  <si>
    <t>עובדים כללי</t>
  </si>
  <si>
    <t>eventers workers</t>
  </si>
  <si>
    <t>eventer</t>
  </si>
  <si>
    <t>Without VAT</t>
  </si>
  <si>
    <t>Plus VAT</t>
  </si>
  <si>
    <t>600 כרטיס / 4 סבבים</t>
  </si>
  <si>
    <t>900 כרטיס / 6 סבבים</t>
  </si>
  <si>
    <t>Ticket a 130</t>
  </si>
  <si>
    <t>profit 120</t>
  </si>
  <si>
    <t>IBIZA</t>
  </si>
  <si>
    <t>BARCELONA</t>
  </si>
  <si>
    <t>AMSTERDAM</t>
  </si>
  <si>
    <t>BERLIN</t>
  </si>
  <si>
    <t>LONDON</t>
  </si>
  <si>
    <t>PARIS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</si>
</sst>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2" fontId="1" numFmtId="0" xfId="0" applyBorder="1" applyFont="1"/>
    <xf borderId="0" fillId="0" fontId="1" numFmtId="0" xfId="0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63"/>
    <col customWidth="1" min="3" max="3" width="22.63"/>
    <col customWidth="1" min="4" max="4" width="16.88"/>
  </cols>
  <sheetData>
    <row r="1">
      <c r="A1" s="1" t="s">
        <v>0</v>
      </c>
    </row>
    <row r="2">
      <c r="A2" s="2" t="s">
        <v>1</v>
      </c>
      <c r="B2" s="3">
        <v>40000.0</v>
      </c>
    </row>
    <row r="3">
      <c r="A3" s="1" t="s">
        <v>2</v>
      </c>
      <c r="B3" s="3">
        <v>9500.0</v>
      </c>
      <c r="C3" s="4"/>
    </row>
    <row r="4">
      <c r="A4" s="1" t="s">
        <v>3</v>
      </c>
      <c r="B4" s="3">
        <v>1500.0</v>
      </c>
      <c r="C4" s="4"/>
    </row>
    <row r="5">
      <c r="A5" s="1" t="s">
        <v>4</v>
      </c>
      <c r="B5" s="3">
        <v>4000.0</v>
      </c>
      <c r="C5" s="4"/>
    </row>
    <row r="6">
      <c r="A6" s="1" t="s">
        <v>5</v>
      </c>
      <c r="B6" s="3">
        <v>1880.0</v>
      </c>
      <c r="C6" s="4"/>
    </row>
    <row r="7">
      <c r="A7" s="4" t="s">
        <v>6</v>
      </c>
      <c r="B7" s="5">
        <v>0.0</v>
      </c>
      <c r="C7" s="4"/>
    </row>
    <row r="8">
      <c r="A8" s="1" t="s">
        <v>7</v>
      </c>
      <c r="B8" s="3">
        <v>0.0</v>
      </c>
    </row>
    <row r="9">
      <c r="A9" s="4" t="s">
        <v>8</v>
      </c>
      <c r="B9" s="3">
        <v>2500.0</v>
      </c>
      <c r="C9" s="4"/>
    </row>
    <row r="10">
      <c r="A10" s="1" t="s">
        <v>9</v>
      </c>
      <c r="B10" s="3">
        <v>0.0</v>
      </c>
      <c r="C10" s="4"/>
    </row>
    <row r="11">
      <c r="A11" s="1" t="s">
        <v>10</v>
      </c>
      <c r="B11" s="3">
        <v>1500.0</v>
      </c>
      <c r="C11" s="4"/>
    </row>
    <row r="12">
      <c r="A12" s="1" t="s">
        <v>11</v>
      </c>
      <c r="B12" s="3">
        <v>2500.0</v>
      </c>
      <c r="C12" s="4"/>
    </row>
    <row r="13">
      <c r="A13" s="4" t="s">
        <v>12</v>
      </c>
      <c r="B13" s="3">
        <v>0.0</v>
      </c>
      <c r="C13" s="4"/>
    </row>
    <row r="14">
      <c r="A14" s="1" t="s">
        <v>13</v>
      </c>
      <c r="B14" s="3"/>
      <c r="C14" s="4"/>
    </row>
    <row r="15">
      <c r="A15" s="1" t="s">
        <v>14</v>
      </c>
      <c r="B15" s="3"/>
      <c r="C15" s="4"/>
    </row>
    <row r="16">
      <c r="A16" s="1" t="s">
        <v>15</v>
      </c>
      <c r="B16" s="6">
        <f>SUM(B2:B15)</f>
        <v>63380</v>
      </c>
    </row>
    <row r="17">
      <c r="A17" s="1" t="s">
        <v>16</v>
      </c>
      <c r="B17" s="6">
        <f>B16*1.17</f>
        <v>74154.6</v>
      </c>
    </row>
    <row r="18">
      <c r="B18" s="6"/>
      <c r="C18" s="4" t="s">
        <v>17</v>
      </c>
      <c r="D18" s="4" t="s">
        <v>18</v>
      </c>
    </row>
    <row r="19">
      <c r="A19" s="1" t="s">
        <v>19</v>
      </c>
      <c r="B19" s="6">
        <f>130*300</f>
        <v>39000</v>
      </c>
      <c r="C19" s="1">
        <f>130*600</f>
        <v>78000</v>
      </c>
      <c r="D19" s="7">
        <f>130*900</f>
        <v>117000</v>
      </c>
    </row>
    <row r="20">
      <c r="B20" s="8"/>
    </row>
    <row r="21">
      <c r="B21" s="8"/>
    </row>
    <row r="22">
      <c r="A22" s="1" t="s">
        <v>20</v>
      </c>
      <c r="B22" s="8">
        <f>B19-B17</f>
        <v>-35154.6</v>
      </c>
      <c r="C22" s="7">
        <f>C19-B16</f>
        <v>14620</v>
      </c>
      <c r="D22" s="7">
        <f>D19-B16</f>
        <v>53620</v>
      </c>
    </row>
    <row r="23">
      <c r="B23" s="8">
        <f>B22*0.3</f>
        <v>-10546.38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</row>
    <row r="2">
      <c r="A2" s="1" t="s">
        <v>22</v>
      </c>
    </row>
    <row r="3">
      <c r="A3" s="1" t="s">
        <v>23</v>
      </c>
    </row>
    <row r="4">
      <c r="A4" s="1" t="s">
        <v>24</v>
      </c>
    </row>
    <row r="5">
      <c r="A5" s="1" t="s">
        <v>25</v>
      </c>
    </row>
    <row r="6">
      <c r="A6" s="1" t="s">
        <v>26</v>
      </c>
    </row>
  </sheetData>
  <drawing r:id="rId1"/>
</worksheet>
</file>