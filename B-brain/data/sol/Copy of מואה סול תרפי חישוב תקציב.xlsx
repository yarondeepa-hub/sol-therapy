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סול טרפי הוזלת מחיר" sheetId="1" r:id="rId5"/>
    <sheet state="visible" name="משימות" sheetId="2" r:id="rId6"/>
  </sheets>
  <definedNames/>
  <calcPr/>
</workbook>
</file>

<file path=xl/sharedStrings.xml><?xml version="1.0" encoding="utf-8"?>
<sst xmlns="http://schemas.openxmlformats.org/spreadsheetml/2006/main" count="63" uniqueCount="62">
  <si>
    <t>הכנסות מחדרים</t>
  </si>
  <si>
    <t>סכום</t>
  </si>
  <si>
    <t>הערות</t>
  </si>
  <si>
    <t>הכנסה מאוהלים כולל מעמ</t>
  </si>
  <si>
    <t>3800 לאדם בחדר  / 10 חדרים = לפי 40 איש סהכ (פוטנציאל גם ל 5 איש באוהל)</t>
  </si>
  <si>
    <t>הכנסה מזוגיים רגילים כולל מעמ</t>
  </si>
  <si>
    <t xml:space="preserve">4200 לאדם בחדר  / 6 חדרים = לפי 12 איש </t>
  </si>
  <si>
    <t>הכנסה מזוגיים עם בריכה  כולל מעמ</t>
  </si>
  <si>
    <t xml:space="preserve">4400 לאדם בחדר  / 5 חדרים = לפי 10 איש </t>
  </si>
  <si>
    <t>הכנסה ממואהבס כולל מעמ</t>
  </si>
  <si>
    <t xml:space="preserve">4400 לאדם בחדר  / 1 חדר  = לפי 2 איש </t>
  </si>
  <si>
    <t>הכנסה ממשפחתי כולל מעמ</t>
  </si>
  <si>
    <t xml:space="preserve">3900 לאדם בחדר / 8 חדרים = לפי 32 איש </t>
  </si>
  <si>
    <t>סה"כ הכנסות מחדרים לפני מעמ!!!</t>
  </si>
  <si>
    <t>סה"כ 96 איש משלמים</t>
  </si>
  <si>
    <t>הוצאות הפקה</t>
  </si>
  <si>
    <t>לינה צוות</t>
  </si>
  <si>
    <t>לבדוק עלות סופית</t>
  </si>
  <si>
    <t>השכרת מזרונים</t>
  </si>
  <si>
    <t>צילום סרטון ותיעוד</t>
  </si>
  <si>
    <t>הפקה וניהול תוכן</t>
  </si>
  <si>
    <t>סאונדמן</t>
  </si>
  <si>
    <t>הנהלת חשבונות</t>
  </si>
  <si>
    <t>ביטוח</t>
  </si>
  <si>
    <t>מפיקה בפועל</t>
  </si>
  <si>
    <t>אמן גדול 1</t>
  </si>
  <si>
    <t>אמדורסקי</t>
  </si>
  <si>
    <t>אמן גדול 2</t>
  </si>
  <si>
    <t>עמרי סמדר</t>
  </si>
  <si>
    <t>אמן בינוני</t>
  </si>
  <si>
    <t>יחזקאל רז</t>
  </si>
  <si>
    <t>אמן קטן 1</t>
  </si>
  <si>
    <t>נועה ארגוב</t>
  </si>
  <si>
    <t>אמן קטן 2</t>
  </si>
  <si>
    <t>רן סלוין</t>
  </si>
  <si>
    <t>מרצים +מדריכי מדיטציה</t>
  </si>
  <si>
    <t>כולל נזירים</t>
  </si>
  <si>
    <t>גרפיקאית + וידאו</t>
  </si>
  <si>
    <t>השכרת סאונד + ציוד דיג'יי</t>
  </si>
  <si>
    <t>הערכה</t>
  </si>
  <si>
    <t>תפאורה ותאורה</t>
  </si>
  <si>
    <t>הסעות ואירוח אמנים</t>
  </si>
  <si>
    <t>לעדכן</t>
  </si>
  <si>
    <t>קמפיין ממומן</t>
  </si>
  <si>
    <t>כיסויי עיניים</t>
  </si>
  <si>
    <t>כיסויים באחריות מואה</t>
  </si>
  <si>
    <t>שונות - קיט למשתתפים</t>
  </si>
  <si>
    <t>מרץ'</t>
  </si>
  <si>
    <t>סה"כ הוצאות</t>
  </si>
  <si>
    <t>הוצאות מואה</t>
  </si>
  <si>
    <t>הכנסה ממוצעת בסופש על בסיס חצי פנסיון לפני מעמ</t>
  </si>
  <si>
    <t xml:space="preserve">כ"א </t>
  </si>
  <si>
    <t>מגיעים עם מפיקה שלנו. לא נצטרך כ"א מיוחד. חוץ מאשר סידור מזרונים פעם ביום.</t>
  </si>
  <si>
    <t>הכנסות פחות הוצאות</t>
  </si>
  <si>
    <t>הכנסות מהמסעדה + ברים</t>
  </si>
  <si>
    <t>??</t>
  </si>
  <si>
    <t>חלוקת רווחים בין מואה לסול תראפי. מתוך 15% הכנסות</t>
  </si>
  <si>
    <t>משימות</t>
  </si>
  <si>
    <t xml:space="preserve">לבדוק לינה צוות </t>
  </si>
  <si>
    <t>כמות</t>
  </si>
  <si>
    <t>עלות</t>
  </si>
  <si>
    <t>מזרונים הצעת מחיר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</si>
</sst>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[$₪-40D]\ * #,##0_ ;_ [$₪-40D]\ * \-#,##0_ ;_ [$₪-40D]\ * &quot;-&quot;??_ ;_ @_ "/>
  </numFmts>
  <fonts count="5">
    <font>
      <sz val="11.0"/>
      <color theme="1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AE2D5"/>
        <bgColor rgb="FFFAE2D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C1F1C8"/>
        <bgColor rgb="FFC1F1C8"/>
      </patternFill>
    </fill>
    <fill>
      <patternFill patternType="solid">
        <fgColor rgb="FFF1CEEE"/>
        <bgColor rgb="FFF1CEEE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3" fontId="1" numFmtId="164" xfId="0" applyBorder="1" applyFill="1" applyFont="1" applyNumberForma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4" fontId="1" numFmtId="0" xfId="0" applyAlignment="1" applyBorder="1" applyFill="1" applyFont="1">
      <alignment readingOrder="0"/>
    </xf>
    <xf borderId="1" fillId="4" fontId="1" numFmtId="164" xfId="0" applyAlignment="1" applyBorder="1" applyFont="1" applyNumberFormat="1">
      <alignment readingOrder="0"/>
    </xf>
    <xf borderId="1" fillId="4" fontId="1" numFmtId="164" xfId="0" applyAlignment="1" applyBorder="1" applyFont="1" applyNumberFormat="1">
      <alignment readingOrder="0"/>
    </xf>
    <xf borderId="1" fillId="5" fontId="1" numFmtId="0" xfId="0" applyAlignment="1" applyBorder="1" applyFill="1" applyFont="1">
      <alignment readingOrder="0"/>
    </xf>
    <xf borderId="1" fillId="5" fontId="1" numFmtId="0" xfId="0" applyBorder="1" applyFont="1"/>
    <xf borderId="1" fillId="6" fontId="2" numFmtId="164" xfId="0" applyAlignment="1" applyBorder="1" applyFill="1" applyFont="1" applyNumberFormat="1">
      <alignment readingOrder="0"/>
    </xf>
    <xf borderId="1" fillId="6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7" fontId="2" numFmtId="164" xfId="0" applyAlignment="1" applyBorder="1" applyFill="1" applyFont="1" applyNumberFormat="1">
      <alignment readingOrder="0"/>
    </xf>
    <xf borderId="1" fillId="7" fontId="1" numFmtId="164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0" fontId="1" numFmtId="164" xfId="0" applyBorder="1" applyFont="1" applyNumberFormat="1"/>
    <xf borderId="1" fillId="3" fontId="1" numFmtId="0" xfId="0" applyAlignment="1" applyBorder="1" applyFont="1">
      <alignment readingOrder="0"/>
    </xf>
    <xf borderId="1" fillId="7" fontId="1" numFmtId="164" xfId="0" applyAlignment="1" applyBorder="1" applyFont="1" applyNumberFormat="1">
      <alignment readingOrder="0" vertical="center"/>
    </xf>
    <xf borderId="1" fillId="3" fontId="1" numFmtId="164" xfId="0" applyAlignment="1" applyBorder="1" applyFont="1" applyNumberFormat="1">
      <alignment shrinkToFit="0" wrapText="1"/>
    </xf>
    <xf borderId="0" fillId="0" fontId="1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7" fontId="1" numFmtId="164" xfId="0" applyAlignment="1" applyBorder="1" applyFont="1" applyNumberFormat="1">
      <alignment readingOrder="0"/>
    </xf>
    <xf borderId="3" fillId="0" fontId="1" numFmtId="164" xfId="0" applyBorder="1" applyFont="1" applyNumberFormat="1"/>
    <xf borderId="3" fillId="7" fontId="1" numFmtId="164" xfId="0" applyBorder="1" applyFont="1" applyNumberFormat="1"/>
    <xf borderId="3" fillId="0" fontId="1" numFmtId="16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4" fillId="3" fontId="1" numFmtId="164" xfId="0" applyAlignment="1" applyBorder="1" applyFont="1" applyNumberFormat="1">
      <alignment readingOrder="0"/>
    </xf>
    <xf borderId="3" fillId="0" fontId="1" numFmtId="164" xfId="0" applyAlignment="1" applyBorder="1" applyFont="1" applyNumberFormat="1">
      <alignment readingOrder="0"/>
    </xf>
    <xf borderId="1" fillId="4" fontId="1" numFmtId="164" xfId="0" applyBorder="1" applyFont="1" applyNumberFormat="1"/>
    <xf borderId="1" fillId="8" fontId="1" numFmtId="164" xfId="0" applyAlignment="1" applyBorder="1" applyFill="1" applyFont="1" applyNumberFormat="1">
      <alignment readingOrder="0"/>
    </xf>
    <xf borderId="1" fillId="2" fontId="1" numFmtId="164" xfId="0" applyBorder="1" applyFont="1" applyNumberFormat="1"/>
    <xf borderId="1" fillId="0" fontId="1" numFmtId="0" xfId="0" applyBorder="1" applyFont="1"/>
    <xf borderId="0" fillId="0" fontId="1" numFmtId="16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9.0"/>
    <col customWidth="1" min="2" max="2" width="42.5"/>
    <col customWidth="1" min="3" max="3" width="14.63"/>
    <col customWidth="1" min="4" max="4" width="66.5"/>
    <col customWidth="1" min="5" max="5" width="36.0"/>
    <col customWidth="1" min="6" max="6" width="9.0"/>
    <col customWidth="1" min="7" max="26" width="8.63"/>
  </cols>
  <sheetData>
    <row r="1">
      <c r="A1" s="1"/>
      <c r="B1" s="2" t="s">
        <v>0</v>
      </c>
      <c r="C1" s="2" t="s">
        <v>1</v>
      </c>
      <c r="D1" s="2" t="s">
        <v>2</v>
      </c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3</v>
      </c>
      <c r="C2" s="5">
        <f>3800*40</f>
        <v>152000</v>
      </c>
      <c r="D2" s="6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4" t="s">
        <v>5</v>
      </c>
      <c r="C3" s="5">
        <f>4200*12</f>
        <v>50400</v>
      </c>
      <c r="D3" s="6" t="s">
        <v>6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7</v>
      </c>
      <c r="C4" s="5">
        <f>4400*10</f>
        <v>44000</v>
      </c>
      <c r="D4" s="6" t="s">
        <v>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9</v>
      </c>
      <c r="C5" s="5">
        <f>4400*2</f>
        <v>8800</v>
      </c>
      <c r="D5" s="6" t="s">
        <v>10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11</v>
      </c>
      <c r="C6" s="8">
        <f>3900*32</f>
        <v>124800</v>
      </c>
      <c r="D6" s="6" t="s">
        <v>12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9" t="s">
        <v>13</v>
      </c>
      <c r="C7" s="10">
        <v>312000.0</v>
      </c>
      <c r="D7" s="11" t="s">
        <v>14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2" t="s">
        <v>15</v>
      </c>
      <c r="C8" s="13"/>
      <c r="D8" s="1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7" t="s">
        <v>16</v>
      </c>
      <c r="C9" s="14">
        <v>7000.0</v>
      </c>
      <c r="D9" s="15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 t="s">
        <v>18</v>
      </c>
      <c r="C10" s="17">
        <v>6568.0</v>
      </c>
      <c r="D10" s="1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9" t="s">
        <v>19</v>
      </c>
      <c r="C11" s="20">
        <v>3000.0</v>
      </c>
      <c r="D11" s="2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2" t="s">
        <v>20</v>
      </c>
      <c r="C12" s="23">
        <v>30000.0</v>
      </c>
      <c r="D12" s="24"/>
      <c r="E12" s="1"/>
      <c r="F12" s="1"/>
      <c r="G12" s="2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6" t="s">
        <v>21</v>
      </c>
      <c r="C13" s="23">
        <v>3000.0</v>
      </c>
      <c r="D13" s="2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8" t="s">
        <v>22</v>
      </c>
      <c r="C14" s="29">
        <v>2500.0</v>
      </c>
      <c r="D14" s="30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8" t="s">
        <v>23</v>
      </c>
      <c r="C15" s="29">
        <v>4000.0</v>
      </c>
      <c r="D15" s="30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8" t="s">
        <v>24</v>
      </c>
      <c r="C16" s="29">
        <v>4000.0</v>
      </c>
      <c r="D16" s="30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8" t="s">
        <v>25</v>
      </c>
      <c r="C17" s="31">
        <v>10000.0</v>
      </c>
      <c r="D17" s="32" t="s">
        <v>26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8" t="s">
        <v>27</v>
      </c>
      <c r="C18" s="31">
        <v>10000.0</v>
      </c>
      <c r="D18" s="32" t="s">
        <v>28</v>
      </c>
      <c r="E18" s="1"/>
      <c r="F18" s="1"/>
      <c r="G18" s="1"/>
      <c r="H18" s="2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8" t="s">
        <v>29</v>
      </c>
      <c r="C19" s="31">
        <v>4000.0</v>
      </c>
      <c r="D19" s="32" t="s">
        <v>30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8" t="s">
        <v>31</v>
      </c>
      <c r="C20" s="31">
        <v>2000.0</v>
      </c>
      <c r="D20" s="32" t="s">
        <v>32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8" t="s">
        <v>33</v>
      </c>
      <c r="C21" s="31">
        <v>2000.0</v>
      </c>
      <c r="D21" s="32" t="s">
        <v>34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8" t="s">
        <v>35</v>
      </c>
      <c r="C22" s="29">
        <v>8400.0</v>
      </c>
      <c r="D22" s="32" t="s">
        <v>36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33" t="s">
        <v>37</v>
      </c>
      <c r="C23" s="29">
        <f>1850+2200</f>
        <v>4050</v>
      </c>
      <c r="D23" s="3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8" t="s">
        <v>38</v>
      </c>
      <c r="C24" s="29">
        <v>6000.0</v>
      </c>
      <c r="D24" s="32" t="s">
        <v>39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8" t="s">
        <v>40</v>
      </c>
      <c r="C25" s="30">
        <v>8000.0</v>
      </c>
      <c r="D25" s="30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8" t="s">
        <v>41</v>
      </c>
      <c r="C26" s="34">
        <v>1000.0</v>
      </c>
      <c r="D26" s="32" t="s">
        <v>42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8" t="s">
        <v>43</v>
      </c>
      <c r="C27" s="30">
        <v>8000.0</v>
      </c>
      <c r="D27" s="3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3" t="s">
        <v>44</v>
      </c>
      <c r="C28" s="35">
        <f>100*5.5</f>
        <v>550</v>
      </c>
      <c r="D28" s="32" t="s">
        <v>45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3" t="s">
        <v>46</v>
      </c>
      <c r="C29" s="35">
        <v>5000.0</v>
      </c>
      <c r="D29" s="32" t="s">
        <v>47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9" t="s">
        <v>48</v>
      </c>
      <c r="C30" s="36">
        <f>SUM(C9:C29)</f>
        <v>129068</v>
      </c>
      <c r="D30" s="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2" t="s">
        <v>49</v>
      </c>
      <c r="C31" s="13"/>
      <c r="D31" s="1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7" t="s">
        <v>50</v>
      </c>
      <c r="C32" s="8">
        <v>150000.0</v>
      </c>
      <c r="D32" s="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7" t="s">
        <v>51</v>
      </c>
      <c r="C33" s="8"/>
      <c r="D33" s="37" t="s">
        <v>52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9" t="s">
        <v>48</v>
      </c>
      <c r="C34" s="36">
        <f>SUM(C32:C33)</f>
        <v>150000</v>
      </c>
      <c r="D34" s="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" t="s">
        <v>53</v>
      </c>
      <c r="C35" s="38">
        <f>C7-C30-C34</f>
        <v>32932</v>
      </c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" t="s">
        <v>54</v>
      </c>
      <c r="C36" s="39" t="s">
        <v>55</v>
      </c>
      <c r="D36" s="7" t="s">
        <v>56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40"/>
      <c r="D37" s="40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40"/>
      <c r="D38" s="40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0"/>
  <cols>
    <col customWidth="1" min="1" max="1" width="19.25"/>
  </cols>
  <sheetData>
    <row r="1">
      <c r="A1" s="41" t="s">
        <v>57</v>
      </c>
    </row>
    <row r="2">
      <c r="A2" s="41" t="s">
        <v>58</v>
      </c>
      <c r="B2" s="41" t="s">
        <v>59</v>
      </c>
      <c r="C2" s="41" t="s">
        <v>60</v>
      </c>
    </row>
    <row r="3">
      <c r="A3" s="41" t="s">
        <v>61</v>
      </c>
    </row>
  </sheetData>
  <drawing r:id="rId1"/>
</worksheet>
</file>